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mesh palle\Downloads\"/>
    </mc:Choice>
  </mc:AlternateContent>
  <xr:revisionPtr revIDLastSave="0" documentId="13_ncr:1_{63C7EDCD-409D-4998-8A1B-D991215129A6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23" r:id="rId2"/>
    <sheet name="Task_1" sheetId="15" r:id="rId3"/>
    <sheet name="Task_1 Ans" sheetId="1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3" hidden="1">'Task_1 Ans'!$A$1:$X$40</definedName>
    <definedName name="_xlnm._FilterDatabase" localSheetId="6" hidden="1">Task_4!$A$11:$C$22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H42" i="1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B7" i="18" a="1"/>
  <c r="B7" i="18" s="1"/>
  <c r="B8" i="18" a="1"/>
  <c r="D8" i="18" s="1"/>
  <c r="B9" i="18" a="1"/>
  <c r="B9" i="18" s="1"/>
  <c r="B10" i="18" a="1"/>
  <c r="D10" i="18" s="1"/>
  <c r="B10" i="18"/>
  <c r="B11" i="18" a="1"/>
  <c r="B11" i="18" s="1"/>
  <c r="B12" i="18" a="1"/>
  <c r="D12" i="18" s="1"/>
  <c r="E12" i="18"/>
  <c r="B13" i="18" a="1"/>
  <c r="E13" i="18" s="1"/>
  <c r="B14" i="18" a="1"/>
  <c r="D14" i="18" s="1"/>
  <c r="B14" i="18"/>
  <c r="B15" i="18" a="1"/>
  <c r="B15" i="18" s="1"/>
  <c r="B16" i="18" a="1"/>
  <c r="D16" i="18" s="1"/>
  <c r="C16" i="18"/>
  <c r="F16" i="18"/>
  <c r="B17" i="18" a="1"/>
  <c r="E17" i="18" s="1"/>
  <c r="B18" i="18" a="1"/>
  <c r="D18" i="18" s="1"/>
  <c r="B19" i="18" a="1"/>
  <c r="B19" i="18" s="1"/>
  <c r="B20" i="18" a="1"/>
  <c r="D20" i="18" s="1"/>
  <c r="B21" i="18" a="1"/>
  <c r="E21" i="18" s="1"/>
  <c r="B22" i="18" a="1"/>
  <c r="D22" i="18" s="1"/>
  <c r="B23" i="18" a="1"/>
  <c r="B23" i="18" s="1"/>
  <c r="B24" i="18" a="1"/>
  <c r="D24" i="18" s="1"/>
  <c r="B25" i="18" a="1"/>
  <c r="E25" i="18" s="1"/>
  <c r="B26" i="18" a="1"/>
  <c r="D26" i="18" s="1"/>
  <c r="B27" i="18" a="1"/>
  <c r="B27" i="18" s="1"/>
  <c r="B6" i="18" a="1"/>
  <c r="B6" i="18" s="1"/>
  <c r="B20" i="18" l="1"/>
  <c r="B16" i="18"/>
  <c r="C12" i="18"/>
  <c r="B26" i="18"/>
  <c r="E16" i="18"/>
  <c r="F12" i="18"/>
  <c r="E11" i="18"/>
  <c r="F24" i="18"/>
  <c r="F20" i="18"/>
  <c r="C24" i="18"/>
  <c r="B22" i="18"/>
  <c r="E20" i="18"/>
  <c r="B12" i="18"/>
  <c r="F10" i="18"/>
  <c r="E7" i="18"/>
  <c r="E24" i="18"/>
  <c r="B24" i="18"/>
  <c r="C20" i="18"/>
  <c r="B18" i="18"/>
  <c r="C10" i="18"/>
  <c r="F26" i="18"/>
  <c r="F18" i="18"/>
  <c r="E22" i="18"/>
  <c r="E18" i="18"/>
  <c r="C8" i="18"/>
  <c r="C26" i="18"/>
  <c r="C22" i="18"/>
  <c r="C18" i="18"/>
  <c r="C14" i="18"/>
  <c r="E10" i="18"/>
  <c r="B8" i="18"/>
  <c r="F8" i="18"/>
  <c r="F22" i="18"/>
  <c r="F14" i="18"/>
  <c r="E8" i="18"/>
  <c r="E26" i="18"/>
  <c r="E14" i="18"/>
  <c r="E27" i="18"/>
  <c r="E23" i="18"/>
  <c r="E19" i="18"/>
  <c r="E15" i="18"/>
  <c r="E9" i="18"/>
  <c r="D27" i="18"/>
  <c r="D25" i="18"/>
  <c r="D23" i="18"/>
  <c r="D21" i="18"/>
  <c r="D19" i="18"/>
  <c r="D17" i="18"/>
  <c r="D15" i="18"/>
  <c r="D13" i="18"/>
  <c r="D11" i="18"/>
  <c r="D9" i="18"/>
  <c r="D7" i="18"/>
  <c r="C27" i="18"/>
  <c r="C25" i="18"/>
  <c r="C23" i="18"/>
  <c r="C21" i="18"/>
  <c r="C19" i="18"/>
  <c r="C17" i="18"/>
  <c r="C15" i="18"/>
  <c r="C13" i="18"/>
  <c r="C11" i="18"/>
  <c r="C9" i="18"/>
  <c r="C7" i="18"/>
  <c r="F27" i="18"/>
  <c r="F25" i="18"/>
  <c r="B25" i="18"/>
  <c r="F23" i="18"/>
  <c r="F21" i="18"/>
  <c r="B21" i="18"/>
  <c r="F19" i="18"/>
  <c r="F17" i="18"/>
  <c r="B17" i="18"/>
  <c r="F15" i="18"/>
  <c r="F13" i="18"/>
  <c r="B13" i="18"/>
  <c r="F11" i="18"/>
  <c r="F9" i="18"/>
  <c r="F7" i="18"/>
  <c r="E6" i="18"/>
  <c r="D6" i="18"/>
  <c r="C6" i="18"/>
  <c r="F6" i="18"/>
  <c r="F30" i="18" l="1"/>
  <c r="F29" i="18"/>
  <c r="F28" i="18"/>
  <c r="B30" i="18"/>
  <c r="B29" i="18"/>
  <c r="C30" i="18"/>
  <c r="C28" i="18"/>
  <c r="C29" i="18"/>
  <c r="D28" i="18"/>
  <c r="D30" i="18"/>
  <c r="D29" i="18"/>
  <c r="E29" i="18"/>
  <c r="E28" i="18"/>
  <c r="E30" i="18"/>
  <c r="B28" i="18"/>
</calcChain>
</file>

<file path=xl/sharedStrings.xml><?xml version="1.0" encoding="utf-8"?>
<sst xmlns="http://schemas.openxmlformats.org/spreadsheetml/2006/main" count="576" uniqueCount="205">
  <si>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</si>
  <si>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</si>
  <si>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</si>
  <si>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</si>
  <si>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</si>
  <si>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</si>
  <si>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</si>
  <si>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</si>
  <si>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</si>
  <si>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</si>
  <si>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</si>
  <si>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</si>
  <si>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</si>
  <si>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</si>
  <si>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</si>
  <si>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</si>
  <si>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</si>
  <si>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</si>
  <si>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</si>
  <si>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</si>
  <si>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</si>
  <si>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</si>
  <si>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</si>
  <si>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</si>
  <si>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</si>
  <si>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</si>
  <si>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</si>
  <si>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</si>
  <si>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</si>
  <si>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</si>
  <si>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</si>
  <si>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</si>
  <si>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</si>
  <si>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</si>
  <si>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</si>
  <si>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</si>
  <si>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</si>
  <si>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</si>
  <si>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</si>
  <si>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</si>
  <si>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</si>
  <si>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</si>
  <si>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</si>
  <si>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</si>
  <si>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</si>
  <si>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</si>
  <si>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</si>
  <si>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</si>
  <si>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</si>
  <si>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</si>
  <si>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</si>
  <si>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</si>
  <si>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</si>
  <si>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</si>
  <si>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</si>
  <si>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</si>
  <si>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</si>
  <si>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</si>
  <si>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</si>
  <si>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</si>
  <si>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</si>
  <si>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</si>
  <si>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</si>
  <si>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</si>
  <si>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</si>
  <si>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</si>
  <si>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</si>
  <si>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</si>
  <si>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</si>
  <si>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</si>
  <si>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</si>
  <si>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</si>
  <si>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</si>
  <si>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</si>
  <si>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</si>
  <si>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</si>
  <si>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</si>
  <si>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</si>
  <si>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</si>
  <si>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</si>
  <si>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</si>
  <si>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</si>
  <si>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</si>
  <si>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</si>
  <si>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</si>
  <si>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</si>
  <si>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</si>
  <si>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</si>
  <si>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</si>
  <si>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</si>
  <si>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</si>
  <si>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</si>
  <si>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</si>
  <si>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</si>
  <si>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</si>
  <si>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</si>
  <si>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</si>
  <si>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</si>
  <si>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</si>
  <si>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</si>
  <si>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</si>
  <si>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</si>
  <si>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</si>
  <si>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</si>
  <si>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</si>
  <si>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</si>
  <si>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</si>
  <si>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</si>
  <si>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</si>
  <si>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</si>
  <si>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</si>
  <si>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</si>
  <si>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</si>
  <si>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</si>
  <si>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</si>
  <si>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</si>
  <si>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</si>
  <si>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</si>
  <si>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</si>
  <si>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</si>
  <si>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</si>
  <si>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</si>
  <si>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</si>
  <si>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</si>
  <si>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</si>
  <si>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</si>
  <si>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</si>
  <si>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</si>
  <si>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</si>
  <si>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</si>
  <si>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</si>
  <si>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</si>
  <si>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</si>
  <si>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</si>
  <si>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</si>
  <si>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</si>
  <si>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</si>
  <si>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</si>
  <si>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</si>
  <si>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</si>
  <si>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</si>
  <si>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</si>
  <si>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</si>
  <si>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</si>
  <si>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</si>
  <si>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</si>
  <si>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</si>
  <si>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</si>
  <si>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</si>
  <si>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</si>
  <si>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</si>
  <si>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</si>
  <si>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</si>
  <si>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</si>
  <si>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</si>
  <si>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</si>
  <si>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</si>
  <si>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</si>
  <si>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</si>
  <si>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</si>
  <si>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</si>
  <si>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</si>
  <si>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</si>
  <si>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</si>
  <si>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</si>
  <si>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</si>
  <si>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</si>
  <si>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</si>
  <si>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</si>
  <si>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</si>
  <si>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</si>
  <si>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</si>
  <si>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</si>
  <si>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</si>
  <si>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</si>
  <si>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</si>
  <si>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</si>
  <si>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</si>
  <si>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Process</t>
  </si>
  <si>
    <t>Select the data given in table A in A column</t>
  </si>
  <si>
    <t>Click alt AE</t>
  </si>
  <si>
    <t>Select delemited</t>
  </si>
  <si>
    <t>click next</t>
  </si>
  <si>
    <t>open Dilougue box choose others Tab put (-) symbol</t>
  </si>
  <si>
    <t xml:space="preserve">give location </t>
  </si>
  <si>
    <t xml:space="preserve">click finish </t>
  </si>
  <si>
    <t>Then aotomatically split</t>
  </si>
  <si>
    <t>applying vlook up formula on table C by using  table B</t>
  </si>
  <si>
    <t>SUM(H29:H40)</t>
  </si>
  <si>
    <t>SUM</t>
  </si>
  <si>
    <t>(YY-MM-DD)</t>
  </si>
  <si>
    <t>DATEDIF(X2,TODAY(),"y")&amp;"years" &amp; DATEDIF(X2,TODAY(),"ym")&amp; "months"&amp; DATEDIF(X2,TODAY(),"md")&amp; "days"</t>
  </si>
  <si>
    <t>Task_1 Process</t>
  </si>
  <si>
    <t xml:space="preserve"> for highliting values of -1 and 0 we use conditional formatting (altHL) formula.</t>
  </si>
  <si>
    <t>for freezing top row -&gt;goto view select freeze panes and then select freeze top row.</t>
  </si>
  <si>
    <t>Apply filter in column H to get values greater than 20 and then apply sum function to get desired output</t>
  </si>
  <si>
    <t>apply datediff function on column X to get 'yyyy-MM-DD' format</t>
  </si>
  <si>
    <t>give value 20 in an empty cell</t>
  </si>
  <si>
    <t>then select #N/A value from the given data using filters</t>
  </si>
  <si>
    <t>copy the value 20 and then click alt+; and then click ctrl+ alt+V+V(paste special)</t>
  </si>
  <si>
    <t xml:space="preserve">finally use sum function to get sum of sales </t>
  </si>
  <si>
    <t>and then calculate min,max,avg values by using respective min,max,avg formulas</t>
  </si>
  <si>
    <t>by using multiple vlookup formula to get multiple values  into the table byusing given dataset</t>
  </si>
  <si>
    <t>Using this Formula---------&gt;</t>
  </si>
  <si>
    <t xml:space="preserve">  Using formula------&gt;VLOOKUP($B23,$M$10:$N$18,2,FALSE)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</si>
</sst>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70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1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8" fillId="2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8" fillId="6" borderId="0" xfId="0" applyFont="1" applyFill="1"/>
    <xf numFmtId="164" fontId="8" fillId="0" borderId="0" xfId="0" applyNumberFormat="1" applyFont="1"/>
    <xf numFmtId="14" fontId="8" fillId="0" borderId="0" xfId="0" applyNumberFormat="1" applyFont="1"/>
    <xf numFmtId="0" fontId="8" fillId="0" borderId="0" xfId="0" applyFont="1" applyAlignment="1">
      <alignment horizontal="right"/>
    </xf>
    <xf numFmtId="0" fontId="8" fillId="5" borderId="0" xfId="0" applyFont="1" applyFill="1" applyAlignment="1">
      <alignment horizontal="right"/>
    </xf>
    <xf numFmtId="0" fontId="8" fillId="5" borderId="0" xfId="0" applyFont="1" applyFill="1"/>
    <xf numFmtId="0" fontId="8" fillId="7" borderId="0" xfId="0" applyFont="1" applyFill="1"/>
    <xf numFmtId="0" fontId="1" fillId="0" borderId="0" xfId="0" applyFont="1"/>
    <xf numFmtId="0" fontId="19" fillId="0" borderId="0" xfId="0" applyFont="1"/>
    <xf numFmtId="164" fontId="1" fillId="0" borderId="0" xfId="0" applyNumberFormat="1" applyFont="1"/>
    <xf numFmtId="14" fontId="1" fillId="0" borderId="0" xfId="0" applyNumberFormat="1" applyFont="1"/>
    <xf numFmtId="0" fontId="3" fillId="0" borderId="0" xfId="0" applyFont="1"/>
    <xf numFmtId="0" fontId="10" fillId="0" borderId="0" xfId="0" applyFont="1"/>
    <xf numFmtId="0" fontId="10" fillId="8" borderId="0" xfId="0" applyFont="1" applyFill="1"/>
    <xf numFmtId="0" fontId="20" fillId="5" borderId="0" xfId="0" applyFont="1" applyFill="1" applyAlignment="1">
      <alignment horizontal="center"/>
    </xf>
    <xf numFmtId="0" fontId="10" fillId="5" borderId="0" xfId="0" applyFont="1" applyFill="1"/>
    <xf numFmtId="0" fontId="10" fillId="6" borderId="0" xfId="0" applyFont="1" applyFill="1"/>
    <xf numFmtId="0" fontId="10" fillId="9" borderId="0" xfId="0" applyFont="1" applyFill="1"/>
    <xf numFmtId="0" fontId="8" fillId="9" borderId="0" xfId="0" applyFont="1" applyFill="1"/>
    <xf numFmtId="0" fontId="9" fillId="9" borderId="0" xfId="0" applyFont="1" applyFill="1"/>
    <xf numFmtId="0" fontId="4" fillId="9" borderId="0" xfId="0" applyFont="1" applyFill="1"/>
    <xf numFmtId="0" fontId="4" fillId="10" borderId="0" xfId="0" applyFont="1" applyFill="1"/>
    <xf numFmtId="0" fontId="8" fillId="10" borderId="0" xfId="0" applyFont="1" applyFill="1"/>
    <xf numFmtId="0" fontId="10" fillId="10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theme="1"/>
      </font>
    </dxf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6" sqref="D6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2" t="s">
        <v>172</v>
      </c>
      <c r="B9" s="22" t="s">
        <v>170</v>
      </c>
    </row>
    <row r="10" spans="1:3" x14ac:dyDescent="0.3">
      <c r="A10" s="31" t="s">
        <v>173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171</v>
      </c>
      <c r="B15" s="21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13FF9-8871-4925-8616-7CBE5CC56DF9}">
  <dimension ref="A1:X40"/>
  <sheetViews>
    <sheetView tabSelected="1" workbookViewId="0">
      <selection activeCell="H16" sqref="H16"/>
    </sheetView>
  </sheetViews>
  <sheetFormatPr defaultRowHeight="13" x14ac:dyDescent="0.3"/>
  <cols>
    <col min="2" max="2" width="8.8984375" bestFit="1" customWidth="1"/>
    <col min="4" max="4" width="8.8984375" bestFit="1" customWidth="1"/>
    <col min="6" max="23" width="8.8984375" bestFit="1" customWidth="1"/>
    <col min="24" max="24" width="11.09765625" bestFit="1" customWidth="1"/>
  </cols>
  <sheetData>
    <row r="1" spans="1:24" ht="14.5" x14ac:dyDescent="0.3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</row>
    <row r="2" spans="1:24" ht="14.5" x14ac:dyDescent="0.3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53">
        <v>-1</v>
      </c>
      <c r="K2" s="53">
        <v>-1</v>
      </c>
      <c r="L2" s="5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3">
        <v>45051</v>
      </c>
    </row>
    <row r="3" spans="1:24" ht="14.5" x14ac:dyDescent="0.3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53">
        <v>-1</v>
      </c>
      <c r="K3" s="53">
        <v>-1</v>
      </c>
      <c r="L3" s="5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3">
        <v>45048</v>
      </c>
    </row>
    <row r="4" spans="1:24" ht="14.5" x14ac:dyDescent="0.3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53">
        <v>-1</v>
      </c>
      <c r="K4" s="53">
        <v>-1</v>
      </c>
      <c r="L4" s="5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3">
        <v>45055</v>
      </c>
    </row>
    <row r="5" spans="1:24" ht="14.5" x14ac:dyDescent="0.3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53">
        <v>-1</v>
      </c>
      <c r="K5" s="53">
        <v>-1</v>
      </c>
      <c r="L5" s="5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3">
        <v>45059</v>
      </c>
    </row>
    <row r="6" spans="1:24" ht="14.5" x14ac:dyDescent="0.3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53">
        <v>-1</v>
      </c>
      <c r="K6" s="53">
        <v>-1</v>
      </c>
      <c r="L6" s="5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3">
        <v>45076</v>
      </c>
    </row>
    <row r="7" spans="1:24" ht="14.5" x14ac:dyDescent="0.3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53">
        <v>-1</v>
      </c>
      <c r="K7" s="53">
        <v>-1</v>
      </c>
      <c r="L7" s="5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3">
        <v>45057</v>
      </c>
    </row>
    <row r="8" spans="1:24" ht="14.5" x14ac:dyDescent="0.3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53">
        <v>-1</v>
      </c>
      <c r="K8" s="53">
        <v>-1</v>
      </c>
      <c r="L8" s="5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3">
        <v>45052</v>
      </c>
    </row>
    <row r="9" spans="1:24" ht="14.5" x14ac:dyDescent="0.3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53">
        <v>-1</v>
      </c>
      <c r="K9" s="53">
        <v>-1</v>
      </c>
      <c r="L9" s="5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3">
        <v>45098</v>
      </c>
    </row>
    <row r="10" spans="1:24" ht="14.5" x14ac:dyDescent="0.3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53">
        <v>-1</v>
      </c>
      <c r="K10" s="53">
        <v>-1</v>
      </c>
      <c r="L10" s="5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3">
        <v>45092</v>
      </c>
    </row>
    <row r="11" spans="1:24" ht="14.5" x14ac:dyDescent="0.3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53">
        <v>-1</v>
      </c>
      <c r="K11" s="53">
        <v>-1</v>
      </c>
      <c r="L11" s="5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3">
        <v>45104</v>
      </c>
    </row>
    <row r="12" spans="1:24" s="54" customFormat="1" ht="14.5" x14ac:dyDescent="0.35">
      <c r="A12" s="53" t="s">
        <v>15</v>
      </c>
      <c r="B12" s="53">
        <v>20020</v>
      </c>
      <c r="C12" s="53" t="s">
        <v>5</v>
      </c>
      <c r="D12" s="55">
        <v>0</v>
      </c>
      <c r="E12" s="53" t="s">
        <v>6</v>
      </c>
      <c r="F12" s="55">
        <v>0.99998842592592596</v>
      </c>
      <c r="G12" s="53">
        <v>0</v>
      </c>
      <c r="H12" s="53">
        <v>0</v>
      </c>
      <c r="I12" s="53">
        <v>0</v>
      </c>
      <c r="J12" s="53">
        <v>0</v>
      </c>
      <c r="K12" s="53">
        <v>0</v>
      </c>
      <c r="L12" s="53">
        <v>0</v>
      </c>
      <c r="M12" s="53">
        <v>0</v>
      </c>
      <c r="N12" s="53">
        <v>0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56">
        <v>45116</v>
      </c>
    </row>
    <row r="13" spans="1:24" ht="14.5" x14ac:dyDescent="0.3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53">
        <v>-1</v>
      </c>
      <c r="K13" s="53">
        <v>-1</v>
      </c>
      <c r="L13" s="5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3">
        <v>45110</v>
      </c>
    </row>
    <row r="14" spans="1:24" ht="14.5" x14ac:dyDescent="0.3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53">
        <v>-1</v>
      </c>
      <c r="K14" s="53">
        <v>-1</v>
      </c>
      <c r="L14" s="5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3">
        <v>45095</v>
      </c>
    </row>
    <row r="15" spans="1:24" ht="14.5" x14ac:dyDescent="0.3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53">
        <v>-1</v>
      </c>
      <c r="K15" s="53">
        <v>-1</v>
      </c>
      <c r="L15" s="5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3">
        <v>45113</v>
      </c>
    </row>
    <row r="16" spans="1:24" ht="14.5" x14ac:dyDescent="0.3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53">
        <v>-1</v>
      </c>
      <c r="K16" s="53">
        <v>-1</v>
      </c>
      <c r="L16" s="5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3">
        <v>45063</v>
      </c>
    </row>
    <row r="17" spans="1:24" ht="14.5" x14ac:dyDescent="0.3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53">
        <v>-1</v>
      </c>
      <c r="K17" s="53">
        <v>-1</v>
      </c>
      <c r="L17" s="5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3">
        <v>45071</v>
      </c>
    </row>
    <row r="18" spans="1:24" ht="14.5" x14ac:dyDescent="0.3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53">
        <v>-1</v>
      </c>
      <c r="K18" s="53">
        <v>-1</v>
      </c>
      <c r="L18" s="5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3">
        <v>45085</v>
      </c>
    </row>
    <row r="19" spans="1:24" ht="14.5" x14ac:dyDescent="0.3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53">
        <v>-1</v>
      </c>
      <c r="K19" s="53">
        <v>-1</v>
      </c>
      <c r="L19" s="5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3">
        <v>45099</v>
      </c>
    </row>
    <row r="20" spans="1:24" ht="14.5" x14ac:dyDescent="0.3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53">
        <v>-1</v>
      </c>
      <c r="K20" s="53">
        <v>-1</v>
      </c>
      <c r="L20" s="5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3">
        <v>45091</v>
      </c>
    </row>
    <row r="21" spans="1:24" ht="14.5" x14ac:dyDescent="0.3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53">
        <v>-1</v>
      </c>
      <c r="K21" s="53">
        <v>-1</v>
      </c>
      <c r="L21" s="5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3">
        <v>45079</v>
      </c>
    </row>
    <row r="22" spans="1:24" ht="14.5" x14ac:dyDescent="0.3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53">
        <v>-1</v>
      </c>
      <c r="K22" s="53">
        <v>-1</v>
      </c>
      <c r="L22" s="5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3">
        <v>45075</v>
      </c>
    </row>
    <row r="23" spans="1:24" ht="14.5" x14ac:dyDescent="0.3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53">
        <v>-1</v>
      </c>
      <c r="K23" s="53">
        <v>-1</v>
      </c>
      <c r="L23" s="5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3">
        <v>45110</v>
      </c>
    </row>
    <row r="24" spans="1:24" ht="14.5" x14ac:dyDescent="0.3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53">
        <v>-1</v>
      </c>
      <c r="K24" s="53">
        <v>-1</v>
      </c>
      <c r="L24" s="5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3">
        <v>45114</v>
      </c>
    </row>
    <row r="25" spans="1:24" ht="14.5" x14ac:dyDescent="0.3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53">
        <v>-1</v>
      </c>
      <c r="K25" s="53">
        <v>-1</v>
      </c>
      <c r="L25" s="5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3">
        <v>45118</v>
      </c>
    </row>
    <row r="26" spans="1:24" s="54" customFormat="1" ht="14.5" x14ac:dyDescent="0.35">
      <c r="A26" s="53" t="s">
        <v>28</v>
      </c>
      <c r="B26" s="53">
        <v>20048</v>
      </c>
      <c r="C26" s="53" t="s">
        <v>5</v>
      </c>
      <c r="D26" s="55">
        <v>0</v>
      </c>
      <c r="E26" s="53" t="s">
        <v>6</v>
      </c>
      <c r="F26" s="55">
        <v>0.99998842592592596</v>
      </c>
      <c r="G26" s="53">
        <v>0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6">
        <v>45142</v>
      </c>
    </row>
    <row r="27" spans="1:24" ht="14.5" x14ac:dyDescent="0.3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53">
        <v>-1</v>
      </c>
      <c r="K27" s="53">
        <v>-1</v>
      </c>
      <c r="L27" s="5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3">
        <v>45146</v>
      </c>
    </row>
    <row r="28" spans="1:24" ht="14.5" x14ac:dyDescent="0.3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53">
        <v>-1</v>
      </c>
      <c r="K28" s="53">
        <v>-1</v>
      </c>
      <c r="L28" s="5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3">
        <v>45108</v>
      </c>
    </row>
    <row r="29" spans="1:24" ht="14.5" x14ac:dyDescent="0.3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53">
        <v>-1</v>
      </c>
      <c r="K29" s="53">
        <v>-1</v>
      </c>
      <c r="L29" s="5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3">
        <v>45153</v>
      </c>
    </row>
    <row r="30" spans="1:24" s="57" customFormat="1" ht="14.5" x14ac:dyDescent="0.35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53">
        <v>-1</v>
      </c>
      <c r="K30" s="53">
        <v>-1</v>
      </c>
      <c r="L30" s="53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3">
        <v>45150</v>
      </c>
    </row>
    <row r="31" spans="1:24" ht="14.5" x14ac:dyDescent="0.3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53">
        <v>-1</v>
      </c>
      <c r="K31" s="53">
        <v>-1</v>
      </c>
      <c r="L31" s="5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3">
        <v>45157</v>
      </c>
    </row>
    <row r="32" spans="1:24" s="57" customFormat="1" ht="14.5" x14ac:dyDescent="0.35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53">
        <v>-1</v>
      </c>
      <c r="K32" s="53">
        <v>-1</v>
      </c>
      <c r="L32" s="53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3">
        <v>45143</v>
      </c>
    </row>
    <row r="33" spans="1:24" ht="14.5" x14ac:dyDescent="0.3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53">
        <v>-1</v>
      </c>
      <c r="K33" s="53">
        <v>-1</v>
      </c>
      <c r="L33" s="5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3">
        <v>45166</v>
      </c>
    </row>
    <row r="34" spans="1:24" ht="14.5" x14ac:dyDescent="0.3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53">
        <v>-1</v>
      </c>
      <c r="K34" s="53">
        <v>-1</v>
      </c>
      <c r="L34" s="5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3">
        <v>45162</v>
      </c>
    </row>
    <row r="35" spans="1:24" ht="14.5" x14ac:dyDescent="0.3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53">
        <v>-1</v>
      </c>
      <c r="K35" s="53">
        <v>-1</v>
      </c>
      <c r="L35" s="5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3">
        <v>45160</v>
      </c>
    </row>
    <row r="36" spans="1:24" ht="14.5" x14ac:dyDescent="0.3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53">
        <v>-1</v>
      </c>
      <c r="K36" s="53">
        <v>-1</v>
      </c>
      <c r="L36" s="5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3">
        <v>45179</v>
      </c>
    </row>
    <row r="37" spans="1:24" ht="14.5" x14ac:dyDescent="0.3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53">
        <v>-1</v>
      </c>
      <c r="K37" s="53">
        <v>-1</v>
      </c>
      <c r="L37" s="5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3">
        <v>45157</v>
      </c>
    </row>
    <row r="38" spans="1:24" ht="14.5" x14ac:dyDescent="0.3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53">
        <v>-1</v>
      </c>
      <c r="K38" s="53">
        <v>-1</v>
      </c>
      <c r="L38" s="5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3">
        <v>45143</v>
      </c>
    </row>
    <row r="39" spans="1:24" ht="14.5" x14ac:dyDescent="0.3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53">
        <v>-1</v>
      </c>
      <c r="K39" s="53">
        <v>-1</v>
      </c>
      <c r="L39" s="5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3">
        <v>45166</v>
      </c>
    </row>
    <row r="40" spans="1:24" ht="14.5" x14ac:dyDescent="0.3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53">
        <v>-1</v>
      </c>
      <c r="K40" s="53">
        <v>-1</v>
      </c>
      <c r="L40" s="5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3">
        <v>45162</v>
      </c>
    </row>
  </sheetData>
  <conditionalFormatting sqref="A1:A40">
    <cfRule type="duplicateValues" dxfId="9" priority="6"/>
  </conditionalFormatting>
  <conditionalFormatting sqref="B1:B40">
    <cfRule type="duplicateValues" dxfId="8" priority="5"/>
  </conditionalFormatting>
  <conditionalFormatting sqref="A1:X40">
    <cfRule type="cellIs" dxfId="7" priority="4" operator="equal">
      <formula>-1</formula>
    </cfRule>
  </conditionalFormatting>
  <conditionalFormatting sqref="G1:W40">
    <cfRule type="cellIs" dxfId="6" priority="3" operator="equal">
      <formula>0</formula>
    </cfRule>
  </conditionalFormatting>
  <conditionalFormatting sqref="A1:X40">
    <cfRule type="cellIs" dxfId="5" priority="1" operator="equal">
      <formula>0</formula>
    </cfRule>
    <cfRule type="cellIs" dxfId="4" priority="2" operator="equal">
      <formula>-1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L15"/>
  <sheetViews>
    <sheetView topLeftCell="B1" zoomScaleNormal="100" workbookViewId="0">
      <pane ySplit="1" topLeftCell="A2" activePane="bottomLeft" state="frozen"/>
      <selection activeCell="B1" sqref="B1"/>
      <selection pane="bottomLeft" activeCell="C16" sqref="C1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9.69921875" style="1" customWidth="1"/>
    <col min="4" max="4" width="14.5" style="1" bestFit="1" customWidth="1"/>
    <col min="5" max="5" width="14.3984375" style="1" bestFit="1" customWidth="1"/>
    <col min="6" max="16384" width="11" style="1"/>
  </cols>
  <sheetData>
    <row r="1" spans="1:12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12" x14ac:dyDescent="0.35">
      <c r="A2" s="2"/>
      <c r="B2" s="5" t="s">
        <v>161</v>
      </c>
      <c r="C2" s="2"/>
    </row>
    <row r="3" spans="1:12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12" x14ac:dyDescent="0.35">
      <c r="A4" s="6">
        <v>2</v>
      </c>
      <c r="B4" s="2" t="s">
        <v>46</v>
      </c>
      <c r="C4" s="2"/>
      <c r="E4" s="1">
        <v>5</v>
      </c>
    </row>
    <row r="5" spans="1:12" x14ac:dyDescent="0.35">
      <c r="A5" s="6">
        <v>3</v>
      </c>
      <c r="B5" s="2" t="s">
        <v>104</v>
      </c>
      <c r="C5" s="30" t="s">
        <v>105</v>
      </c>
      <c r="D5" s="66" t="s">
        <v>188</v>
      </c>
      <c r="E5" s="1">
        <v>10</v>
      </c>
    </row>
    <row r="6" spans="1:12" x14ac:dyDescent="0.35">
      <c r="A6" s="6"/>
      <c r="B6" s="2"/>
      <c r="C6" s="30"/>
    </row>
    <row r="7" spans="1:12" x14ac:dyDescent="0.35">
      <c r="A7" s="6">
        <v>4</v>
      </c>
      <c r="B7" s="2" t="s">
        <v>107</v>
      </c>
      <c r="C7" s="30" t="s">
        <v>105</v>
      </c>
      <c r="D7" s="65" t="s">
        <v>191</v>
      </c>
      <c r="E7" s="1">
        <v>5</v>
      </c>
    </row>
    <row r="8" spans="1:12" x14ac:dyDescent="0.35">
      <c r="A8" s="2"/>
      <c r="B8" s="2"/>
      <c r="C8" s="2"/>
    </row>
    <row r="10" spans="1:12" s="3" customFormat="1" x14ac:dyDescent="0.35">
      <c r="B10" s="51" t="s">
        <v>192</v>
      </c>
    </row>
    <row r="11" spans="1:12" s="3" customFormat="1" x14ac:dyDescent="0.35">
      <c r="A11" s="46">
        <v>1</v>
      </c>
      <c r="B11" s="46" t="s">
        <v>193</v>
      </c>
      <c r="C11" s="46"/>
    </row>
    <row r="12" spans="1:12" s="3" customFormat="1" x14ac:dyDescent="0.35">
      <c r="A12" s="46">
        <v>2</v>
      </c>
      <c r="B12" s="46" t="s">
        <v>194</v>
      </c>
      <c r="C12" s="46"/>
    </row>
    <row r="13" spans="1:12" s="3" customFormat="1" x14ac:dyDescent="0.35">
      <c r="A13" s="46">
        <v>3</v>
      </c>
      <c r="B13" s="46" t="s">
        <v>195</v>
      </c>
      <c r="C13" s="46"/>
      <c r="D13" s="46" t="s">
        <v>203</v>
      </c>
      <c r="E13" s="46"/>
      <c r="F13" s="67" t="s">
        <v>188</v>
      </c>
      <c r="G13" s="68"/>
    </row>
    <row r="14" spans="1:12" s="3" customFormat="1" x14ac:dyDescent="0.35">
      <c r="A14" s="46">
        <v>4</v>
      </c>
      <c r="B14" s="46" t="s">
        <v>196</v>
      </c>
      <c r="C14" s="46" t="s">
        <v>203</v>
      </c>
      <c r="D14" s="63" t="s">
        <v>191</v>
      </c>
      <c r="E14" s="63"/>
      <c r="F14" s="64"/>
      <c r="G14" s="64"/>
      <c r="H14" s="64"/>
      <c r="I14" s="64"/>
      <c r="J14" s="64"/>
      <c r="K14" s="64"/>
      <c r="L14" s="64"/>
    </row>
    <row r="15" spans="1:12" x14ac:dyDescent="0.35">
      <c r="E1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2"/>
  <sheetViews>
    <sheetView topLeftCell="P1" zoomScaleNormal="100" workbookViewId="0">
      <pane ySplit="1" topLeftCell="A2" activePane="bottomLeft" state="frozen"/>
      <selection pane="bottomLeft" activeCell="Y2" sqref="Y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0" customWidth="1"/>
    <col min="5" max="5" width="9.19921875" style="1" bestFit="1" customWidth="1"/>
    <col min="6" max="6" width="10.3984375" style="20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25" width="26.3984375" style="1" customWidth="1"/>
    <col min="26" max="16384" width="9" style="1"/>
  </cols>
  <sheetData>
    <row r="1" spans="1:25" s="3" customFormat="1" ht="14.75" customHeight="1" x14ac:dyDescent="0.3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  <c r="Y1" s="52" t="s">
        <v>190</v>
      </c>
    </row>
    <row r="2" spans="1:25" x14ac:dyDescent="0.3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3">
        <v>45051</v>
      </c>
      <c r="Y2" s="1" t="str">
        <f ca="1">DATEDIF(X2,TODAY(),"y")&amp;"years" &amp; DATEDIF(X2,TODAY(),"ym")&amp; "months"&amp; DATEDIF(X2,TODAY(),"md")&amp; "days"</f>
        <v>0years7months5days</v>
      </c>
    </row>
    <row r="3" spans="1:25" x14ac:dyDescent="0.3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3">
        <v>45048</v>
      </c>
      <c r="Y3" s="1" t="str">
        <f t="shared" ref="Y3:Y40" ca="1" si="0">DATEDIF(X3,TODAY(),"y")&amp;"years" &amp; DATEDIF(X3,TODAY(),"ym")&amp; "months"&amp; DATEDIF(X3,TODAY(),"md")&amp; "days"</f>
        <v>0years7months8days</v>
      </c>
    </row>
    <row r="4" spans="1:25" x14ac:dyDescent="0.3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3">
        <v>45055</v>
      </c>
      <c r="Y4" s="1" t="str">
        <f t="shared" ca="1" si="0"/>
        <v>0years7months1days</v>
      </c>
    </row>
    <row r="5" spans="1:25" x14ac:dyDescent="0.3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3">
        <v>45059</v>
      </c>
      <c r="Y5" s="1" t="str">
        <f t="shared" ca="1" si="0"/>
        <v>0years6months27days</v>
      </c>
    </row>
    <row r="6" spans="1:25" x14ac:dyDescent="0.3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3">
        <v>45076</v>
      </c>
      <c r="Y6" s="1" t="str">
        <f t="shared" ca="1" si="0"/>
        <v>0years6months10days</v>
      </c>
    </row>
    <row r="7" spans="1:25" x14ac:dyDescent="0.3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3">
        <v>45057</v>
      </c>
      <c r="Y7" s="1" t="str">
        <f t="shared" ca="1" si="0"/>
        <v>0years6months29days</v>
      </c>
    </row>
    <row r="8" spans="1:25" x14ac:dyDescent="0.3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3">
        <v>45052</v>
      </c>
      <c r="Y8" s="1" t="str">
        <f t="shared" ca="1" si="0"/>
        <v>0years7months4days</v>
      </c>
    </row>
    <row r="9" spans="1:25" x14ac:dyDescent="0.3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3">
        <v>45098</v>
      </c>
      <c r="Y9" s="1" t="str">
        <f t="shared" ca="1" si="0"/>
        <v>0years5months19days</v>
      </c>
    </row>
    <row r="10" spans="1:25" x14ac:dyDescent="0.3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3">
        <v>45092</v>
      </c>
      <c r="Y10" s="1" t="str">
        <f t="shared" ca="1" si="0"/>
        <v>0years5months25days</v>
      </c>
    </row>
    <row r="11" spans="1:25" x14ac:dyDescent="0.3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3">
        <v>45104</v>
      </c>
      <c r="Y11" s="1" t="str">
        <f t="shared" ca="1" si="0"/>
        <v>0years5months13days</v>
      </c>
    </row>
    <row r="12" spans="1:25" s="3" customFormat="1" x14ac:dyDescent="0.35">
      <c r="A12" s="3" t="s">
        <v>15</v>
      </c>
      <c r="B12" s="3">
        <v>20020</v>
      </c>
      <c r="C12" s="3" t="s">
        <v>5</v>
      </c>
      <c r="D12" s="47">
        <v>0</v>
      </c>
      <c r="E12" s="3" t="s">
        <v>6</v>
      </c>
      <c r="F12" s="47">
        <v>0.99998842592592596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48">
        <v>45116</v>
      </c>
      <c r="Y12" s="1" t="str">
        <f t="shared" ca="1" si="0"/>
        <v>0years5months1days</v>
      </c>
    </row>
    <row r="13" spans="1:25" x14ac:dyDescent="0.3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3">
        <v>45110</v>
      </c>
      <c r="Y13" s="1" t="str">
        <f t="shared" ca="1" si="0"/>
        <v>0years5months7days</v>
      </c>
    </row>
    <row r="14" spans="1:25" x14ac:dyDescent="0.3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3">
        <v>45095</v>
      </c>
      <c r="Y14" s="1" t="str">
        <f t="shared" ca="1" si="0"/>
        <v>0years5months22days</v>
      </c>
    </row>
    <row r="15" spans="1:25" x14ac:dyDescent="0.3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3">
        <v>45113</v>
      </c>
      <c r="Y15" s="1" t="str">
        <f t="shared" ca="1" si="0"/>
        <v>0years5months4days</v>
      </c>
    </row>
    <row r="16" spans="1:25" x14ac:dyDescent="0.3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3">
        <v>45063</v>
      </c>
      <c r="Y16" s="1" t="str">
        <f t="shared" ca="1" si="0"/>
        <v>0years6months23days</v>
      </c>
    </row>
    <row r="17" spans="1:25" x14ac:dyDescent="0.3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3">
        <v>45071</v>
      </c>
      <c r="Y17" s="1" t="str">
        <f t="shared" ca="1" si="0"/>
        <v>0years6months15days</v>
      </c>
    </row>
    <row r="18" spans="1:25" x14ac:dyDescent="0.3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3">
        <v>45085</v>
      </c>
      <c r="Y18" s="1" t="str">
        <f t="shared" ca="1" si="0"/>
        <v>0years6months2days</v>
      </c>
    </row>
    <row r="19" spans="1:25" x14ac:dyDescent="0.3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3">
        <v>45099</v>
      </c>
      <c r="Y19" s="1" t="str">
        <f t="shared" ca="1" si="0"/>
        <v>0years5months18days</v>
      </c>
    </row>
    <row r="20" spans="1:25" x14ac:dyDescent="0.3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3">
        <v>45091</v>
      </c>
      <c r="Y20" s="1" t="str">
        <f t="shared" ca="1" si="0"/>
        <v>0years5months26days</v>
      </c>
    </row>
    <row r="21" spans="1:25" x14ac:dyDescent="0.3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3">
        <v>45079</v>
      </c>
      <c r="Y21" s="1" t="str">
        <f t="shared" ca="1" si="0"/>
        <v>0years6months8days</v>
      </c>
    </row>
    <row r="22" spans="1:25" x14ac:dyDescent="0.3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3">
        <v>45075</v>
      </c>
      <c r="Y22" s="1" t="str">
        <f t="shared" ca="1" si="0"/>
        <v>0years6months11days</v>
      </c>
    </row>
    <row r="23" spans="1:25" x14ac:dyDescent="0.3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3">
        <v>45110</v>
      </c>
      <c r="Y23" s="1" t="str">
        <f t="shared" ca="1" si="0"/>
        <v>0years5months7days</v>
      </c>
    </row>
    <row r="24" spans="1:25" x14ac:dyDescent="0.3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3">
        <v>45114</v>
      </c>
      <c r="Y24" s="1" t="str">
        <f t="shared" ca="1" si="0"/>
        <v>0years5months3days</v>
      </c>
    </row>
    <row r="25" spans="1:25" x14ac:dyDescent="0.3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3">
        <v>45118</v>
      </c>
      <c r="Y25" s="1" t="str">
        <f t="shared" ca="1" si="0"/>
        <v>0years4months29days</v>
      </c>
    </row>
    <row r="26" spans="1:25" s="3" customFormat="1" x14ac:dyDescent="0.35">
      <c r="A26" s="3" t="s">
        <v>28</v>
      </c>
      <c r="B26" s="3">
        <v>20048</v>
      </c>
      <c r="C26" s="3" t="s">
        <v>5</v>
      </c>
      <c r="D26" s="47">
        <v>0</v>
      </c>
      <c r="E26" s="3" t="s">
        <v>6</v>
      </c>
      <c r="F26" s="47">
        <v>0.99998842592592596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48">
        <v>45142</v>
      </c>
      <c r="Y26" s="1" t="str">
        <f t="shared" ca="1" si="0"/>
        <v>0years4months6days</v>
      </c>
    </row>
    <row r="27" spans="1:25" x14ac:dyDescent="0.3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3">
        <v>45146</v>
      </c>
      <c r="Y27" s="1" t="str">
        <f t="shared" ca="1" si="0"/>
        <v>0years4months2days</v>
      </c>
    </row>
    <row r="28" spans="1:25" x14ac:dyDescent="0.3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3">
        <v>45108</v>
      </c>
      <c r="Y28" s="1" t="str">
        <f t="shared" ca="1" si="0"/>
        <v>0years5months9days</v>
      </c>
    </row>
    <row r="29" spans="1:25" x14ac:dyDescent="0.3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3">
        <v>45153</v>
      </c>
      <c r="Y29" s="1" t="str">
        <f t="shared" ca="1" si="0"/>
        <v>0years3months25days</v>
      </c>
    </row>
    <row r="30" spans="1:25" s="3" customFormat="1" x14ac:dyDescent="0.35">
      <c r="A30" s="3" t="s">
        <v>58</v>
      </c>
      <c r="B30" s="3">
        <v>20058</v>
      </c>
      <c r="C30" s="3" t="s">
        <v>5</v>
      </c>
      <c r="D30" s="47">
        <v>0</v>
      </c>
      <c r="E30" s="3" t="s">
        <v>6</v>
      </c>
      <c r="F30" s="47">
        <v>0.99998842592592596</v>
      </c>
      <c r="G30" s="3">
        <v>-1</v>
      </c>
      <c r="H30" s="3">
        <v>-1</v>
      </c>
      <c r="I30" s="3">
        <v>-1</v>
      </c>
      <c r="J30" s="3">
        <v>-1</v>
      </c>
      <c r="K30" s="3">
        <v>-1</v>
      </c>
      <c r="L30" s="3">
        <v>-1</v>
      </c>
      <c r="M30" s="3">
        <v>-1</v>
      </c>
      <c r="N30" s="3">
        <v>-1</v>
      </c>
      <c r="O30" s="3">
        <v>-1</v>
      </c>
      <c r="P30" s="3">
        <v>-1</v>
      </c>
      <c r="Q30" s="3">
        <v>-1</v>
      </c>
      <c r="R30" s="3">
        <v>-1</v>
      </c>
      <c r="S30" s="3">
        <v>-1</v>
      </c>
      <c r="T30" s="3">
        <v>-1</v>
      </c>
      <c r="U30" s="3">
        <v>-1</v>
      </c>
      <c r="V30" s="3">
        <v>-1</v>
      </c>
      <c r="W30" s="3">
        <v>-1</v>
      </c>
      <c r="X30" s="48">
        <v>45150</v>
      </c>
      <c r="Y30" s="1" t="str">
        <f t="shared" ca="1" si="0"/>
        <v>0years3months28days</v>
      </c>
    </row>
    <row r="31" spans="1:25" x14ac:dyDescent="0.3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3">
        <v>45157</v>
      </c>
      <c r="Y31" s="1" t="str">
        <f t="shared" ca="1" si="0"/>
        <v>0years3months21days</v>
      </c>
    </row>
    <row r="32" spans="1:25" s="3" customFormat="1" x14ac:dyDescent="0.35">
      <c r="A32" s="3" t="s">
        <v>32</v>
      </c>
      <c r="B32" s="3">
        <v>21000</v>
      </c>
      <c r="C32" s="3" t="s">
        <v>5</v>
      </c>
      <c r="D32" s="47">
        <v>0</v>
      </c>
      <c r="E32" s="3" t="s">
        <v>6</v>
      </c>
      <c r="F32" s="47">
        <v>0.99998842592592596</v>
      </c>
      <c r="G32" s="3">
        <v>-1</v>
      </c>
      <c r="H32" s="3">
        <v>-1</v>
      </c>
      <c r="I32" s="3">
        <v>-1</v>
      </c>
      <c r="J32" s="3">
        <v>-1</v>
      </c>
      <c r="K32" s="3">
        <v>-1</v>
      </c>
      <c r="L32" s="3">
        <v>-1</v>
      </c>
      <c r="M32" s="3">
        <v>-1</v>
      </c>
      <c r="N32" s="3">
        <v>-1</v>
      </c>
      <c r="O32" s="3">
        <v>-1</v>
      </c>
      <c r="P32" s="3">
        <v>-1</v>
      </c>
      <c r="Q32" s="3">
        <v>-1</v>
      </c>
      <c r="R32" s="3">
        <v>-1</v>
      </c>
      <c r="S32" s="3">
        <v>-1</v>
      </c>
      <c r="T32" s="3">
        <v>-1</v>
      </c>
      <c r="U32" s="3">
        <v>-1</v>
      </c>
      <c r="V32" s="3">
        <v>-1</v>
      </c>
      <c r="W32" s="3">
        <v>-1</v>
      </c>
      <c r="X32" s="48">
        <v>45143</v>
      </c>
      <c r="Y32" s="1" t="str">
        <f t="shared" ca="1" si="0"/>
        <v>0years4months5days</v>
      </c>
    </row>
    <row r="33" spans="1:25" x14ac:dyDescent="0.3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3">
        <v>45166</v>
      </c>
      <c r="Y33" s="1" t="str">
        <f t="shared" ca="1" si="0"/>
        <v>0years3months12days</v>
      </c>
    </row>
    <row r="34" spans="1:25" x14ac:dyDescent="0.3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3">
        <v>45162</v>
      </c>
      <c r="Y34" s="1" t="str">
        <f t="shared" ca="1" si="0"/>
        <v>0years3months16days</v>
      </c>
    </row>
    <row r="35" spans="1:25" x14ac:dyDescent="0.3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3">
        <v>45160</v>
      </c>
      <c r="Y35" s="1" t="str">
        <f t="shared" ca="1" si="0"/>
        <v>0years3months18days</v>
      </c>
    </row>
    <row r="36" spans="1:25" x14ac:dyDescent="0.3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3">
        <v>45179</v>
      </c>
      <c r="Y36" s="1" t="str">
        <f t="shared" ca="1" si="0"/>
        <v>0years3months0days</v>
      </c>
    </row>
    <row r="37" spans="1:25" x14ac:dyDescent="0.3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3">
        <v>45157</v>
      </c>
      <c r="Y37" s="1" t="str">
        <f t="shared" ca="1" si="0"/>
        <v>0years3months21days</v>
      </c>
    </row>
    <row r="38" spans="1:25" x14ac:dyDescent="0.3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3">
        <v>45143</v>
      </c>
      <c r="Y38" s="1" t="str">
        <f t="shared" ca="1" si="0"/>
        <v>0years4months5days</v>
      </c>
    </row>
    <row r="39" spans="1:25" x14ac:dyDescent="0.3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3">
        <v>45166</v>
      </c>
      <c r="Y39" s="1" t="str">
        <f t="shared" ca="1" si="0"/>
        <v>0years3months12days</v>
      </c>
    </row>
    <row r="40" spans="1:25" x14ac:dyDescent="0.3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3">
        <v>45162</v>
      </c>
      <c r="Y40" s="1" t="str">
        <f t="shared" ca="1" si="0"/>
        <v>0years3months16days</v>
      </c>
    </row>
    <row r="42" spans="1:25" x14ac:dyDescent="0.35">
      <c r="G42" s="50" t="s">
        <v>189</v>
      </c>
      <c r="H42" s="51">
        <f>SUM(H29:H40)</f>
        <v>685.8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O30"/>
  <sheetViews>
    <sheetView topLeftCell="B1" zoomScaleNormal="100" workbookViewId="0">
      <selection activeCell="G18" sqref="G1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15" s="37" customFormat="1" ht="21" x14ac:dyDescent="0.5">
      <c r="A1" s="38" t="s">
        <v>55</v>
      </c>
      <c r="B1" s="37" t="s">
        <v>165</v>
      </c>
    </row>
    <row r="2" spans="1:15" s="37" customFormat="1" ht="21" x14ac:dyDescent="0.5">
      <c r="B2" s="37" t="s">
        <v>162</v>
      </c>
    </row>
    <row r="3" spans="1:15" ht="14.5" x14ac:dyDescent="0.35">
      <c r="A3" s="1"/>
      <c r="B3" s="1"/>
      <c r="C3" s="1"/>
      <c r="D3" s="1"/>
      <c r="E3" s="1"/>
      <c r="F3" s="1"/>
      <c r="G3" s="1"/>
    </row>
    <row r="4" spans="1:15" ht="23.5" x14ac:dyDescent="0.55000000000000004">
      <c r="A4" s="17" t="s">
        <v>163</v>
      </c>
      <c r="B4" s="1"/>
      <c r="C4" s="1"/>
      <c r="D4" s="1"/>
      <c r="E4" s="1"/>
      <c r="F4" s="1"/>
      <c r="G4" s="1"/>
    </row>
    <row r="5" spans="1:15" ht="14.5" x14ac:dyDescent="0.35">
      <c r="A5" s="19" t="s">
        <v>64</v>
      </c>
      <c r="B5" s="41" t="s">
        <v>79</v>
      </c>
      <c r="C5" s="42" t="s">
        <v>71</v>
      </c>
      <c r="D5" s="41" t="s">
        <v>75</v>
      </c>
      <c r="E5" s="42" t="s">
        <v>76</v>
      </c>
      <c r="F5" s="43" t="s">
        <v>77</v>
      </c>
    </row>
    <row r="6" spans="1:15" ht="15.5" x14ac:dyDescent="0.35">
      <c r="A6" s="7" t="s">
        <v>40</v>
      </c>
      <c r="B6" s="44">
        <f t="array" ref="B6:F6">VLOOKUP(A6,'Task_1 Ans'!$A$1:$X$40,{7,14,18,20,22},FALSE)</f>
        <v>2.7</v>
      </c>
      <c r="C6" s="44">
        <v>7.6</v>
      </c>
      <c r="D6" s="44">
        <v>4.2</v>
      </c>
      <c r="E6" s="44">
        <v>8.9</v>
      </c>
      <c r="F6" s="45">
        <v>4.2</v>
      </c>
      <c r="H6" s="60" t="s">
        <v>178</v>
      </c>
    </row>
    <row r="7" spans="1:15" ht="14.5" x14ac:dyDescent="0.35">
      <c r="A7" s="7" t="s">
        <v>4</v>
      </c>
      <c r="B7" s="44">
        <f t="array" ref="B7:F7">VLOOKUP(A7,'Task_1 Ans'!$A$1:$X$40,{7,14,18,20,22},FALSE)</f>
        <v>2.7</v>
      </c>
      <c r="C7" s="44">
        <v>7.6</v>
      </c>
      <c r="D7" s="44">
        <v>4.2</v>
      </c>
      <c r="E7" s="44">
        <v>8.9</v>
      </c>
      <c r="F7" s="45">
        <v>4.2</v>
      </c>
      <c r="G7" s="58">
        <v>1</v>
      </c>
      <c r="H7" s="62" t="s">
        <v>202</v>
      </c>
      <c r="I7" s="62"/>
      <c r="J7" s="62"/>
      <c r="K7" s="62"/>
      <c r="L7" s="62"/>
      <c r="M7" s="62"/>
      <c r="N7" s="62"/>
      <c r="O7" s="62"/>
    </row>
    <row r="8" spans="1:15" ht="14.5" x14ac:dyDescent="0.35">
      <c r="A8" s="7" t="s">
        <v>7</v>
      </c>
      <c r="B8" s="44">
        <f t="array" ref="B8:F8">VLOOKUP(A8,'Task_1 Ans'!$A$1:$X$40,{7,14,18,20,22},FALSE)</f>
        <v>3.6</v>
      </c>
      <c r="C8" s="44">
        <v>11.1</v>
      </c>
      <c r="D8" s="44">
        <v>5.8</v>
      </c>
      <c r="E8" s="44">
        <v>12.2</v>
      </c>
      <c r="F8" s="45">
        <v>5.8</v>
      </c>
      <c r="G8" s="58">
        <v>2</v>
      </c>
      <c r="H8" s="62" t="s">
        <v>201</v>
      </c>
      <c r="I8" s="62"/>
      <c r="J8" s="62"/>
      <c r="K8" s="62"/>
      <c r="L8" s="62"/>
      <c r="M8" s="62"/>
      <c r="N8" s="62"/>
      <c r="O8" s="62"/>
    </row>
    <row r="9" spans="1:15" ht="14.5" x14ac:dyDescent="0.35">
      <c r="A9" s="7" t="s">
        <v>8</v>
      </c>
      <c r="B9" s="44">
        <f t="array" ref="B9:F9">VLOOKUP(A9,'Task_1 Ans'!$A$1:$X$40,{7,14,18,20,22},FALSE)</f>
        <v>4.9000000000000004</v>
      </c>
      <c r="C9" s="44">
        <v>13.3</v>
      </c>
      <c r="D9" s="44">
        <v>8.1</v>
      </c>
      <c r="E9" s="44">
        <v>17</v>
      </c>
      <c r="F9" s="45">
        <v>8.1</v>
      </c>
    </row>
    <row r="10" spans="1:15" ht="14.5" x14ac:dyDescent="0.35">
      <c r="A10" s="7" t="s">
        <v>11</v>
      </c>
      <c r="B10" s="44">
        <f t="array" ref="B10:F10">VLOOKUP(A10,'Task_1 Ans'!$A$1:$X$40,{7,14,18,20,22},FALSE)</f>
        <v>9.4</v>
      </c>
      <c r="C10" s="44">
        <v>28.3</v>
      </c>
      <c r="D10" s="44">
        <v>16.100000000000001</v>
      </c>
      <c r="E10" s="44">
        <v>32.799999999999997</v>
      </c>
      <c r="F10" s="45">
        <v>16.100000000000001</v>
      </c>
    </row>
    <row r="11" spans="1:15" ht="14.5" x14ac:dyDescent="0.35">
      <c r="A11" s="7" t="s">
        <v>12</v>
      </c>
      <c r="B11" s="44">
        <f t="array" ref="B11:F11">VLOOKUP(A11,'Task_1 Ans'!$A$1:$X$40,{7,14,18,20,22},FALSE)</f>
        <v>11.6</v>
      </c>
      <c r="C11" s="44">
        <v>35.200000000000003</v>
      </c>
      <c r="D11" s="44">
        <v>21.3</v>
      </c>
      <c r="E11" s="44">
        <v>43</v>
      </c>
      <c r="F11" s="45">
        <v>21.3</v>
      </c>
    </row>
    <row r="12" spans="1:15" ht="14.5" x14ac:dyDescent="0.35">
      <c r="A12" s="7" t="s">
        <v>14</v>
      </c>
      <c r="B12" s="44">
        <f t="array" ref="B12:F12">VLOOKUP(A12,'Task_1 Ans'!$A$1:$X$40,{7,14,18,20,22},FALSE)</f>
        <v>18.399999999999999</v>
      </c>
      <c r="C12" s="44">
        <v>55.6</v>
      </c>
      <c r="D12" s="44">
        <v>33.799999999999997</v>
      </c>
      <c r="E12" s="44">
        <v>67.900000000000006</v>
      </c>
      <c r="F12" s="45">
        <v>33.799999999999997</v>
      </c>
    </row>
    <row r="13" spans="1:15" ht="14.5" x14ac:dyDescent="0.35">
      <c r="A13" s="7" t="s">
        <v>15</v>
      </c>
      <c r="B13" s="44">
        <f t="array" ref="B13:F13">VLOOKUP(A13,'Task_1 Ans'!$A$1:$X$40,{7,14,18,20,22},FALSE)</f>
        <v>0</v>
      </c>
      <c r="C13" s="44">
        <v>0</v>
      </c>
      <c r="D13" s="44">
        <v>0</v>
      </c>
      <c r="E13" s="44">
        <v>0</v>
      </c>
      <c r="F13" s="45">
        <v>0</v>
      </c>
    </row>
    <row r="14" spans="1:15" ht="14.5" x14ac:dyDescent="0.35">
      <c r="A14" s="7" t="s">
        <v>16</v>
      </c>
      <c r="B14" s="44">
        <f t="array" ref="B14:F14">VLOOKUP(A14,'Task_1 Ans'!$A$1:$X$40,{7,14,18,20,22},FALSE)</f>
        <v>21.9</v>
      </c>
      <c r="C14" s="44">
        <v>61.5</v>
      </c>
      <c r="D14" s="44">
        <v>40.1</v>
      </c>
      <c r="E14" s="44">
        <v>76.599999999999994</v>
      </c>
      <c r="F14" s="45">
        <v>40.1</v>
      </c>
    </row>
    <row r="15" spans="1:15" ht="14.5" x14ac:dyDescent="0.35">
      <c r="A15" s="7" t="s">
        <v>18</v>
      </c>
      <c r="B15" s="44">
        <f t="array" ref="B15:F15">VLOOKUP(A15,'Task_1 Ans'!$A$1:$X$40,{7,14,18,20,22},FALSE)</f>
        <v>26.8</v>
      </c>
      <c r="C15" s="44">
        <v>79.599999999999994</v>
      </c>
      <c r="D15" s="44">
        <v>47.9</v>
      </c>
      <c r="E15" s="44">
        <v>96.8</v>
      </c>
      <c r="F15" s="45">
        <v>47.9</v>
      </c>
    </row>
    <row r="16" spans="1:15" ht="14.5" x14ac:dyDescent="0.35">
      <c r="A16" s="7" t="s">
        <v>20</v>
      </c>
      <c r="B16" s="44">
        <f t="array" ref="B16:F16">VLOOKUP(A16,'Task_1 Ans'!$A$1:$X$40,{7,14,18,20,22},FALSE)</f>
        <v>28.5</v>
      </c>
      <c r="C16" s="44">
        <v>85.4</v>
      </c>
      <c r="D16" s="44">
        <v>52.3</v>
      </c>
      <c r="E16" s="44">
        <v>106.1</v>
      </c>
      <c r="F16" s="45">
        <v>52.3</v>
      </c>
    </row>
    <row r="17" spans="1:6" ht="14.5" x14ac:dyDescent="0.35">
      <c r="A17" s="7" t="s">
        <v>22</v>
      </c>
      <c r="B17" s="44">
        <f t="array" ref="B17:F17">VLOOKUP(A17,'Task_1 Ans'!$A$1:$X$40,{7,14,18,20,22},FALSE)</f>
        <v>30.7</v>
      </c>
      <c r="C17" s="44">
        <v>92.1</v>
      </c>
      <c r="D17" s="44">
        <v>57</v>
      </c>
      <c r="E17" s="44">
        <v>115.1</v>
      </c>
      <c r="F17" s="45">
        <v>57</v>
      </c>
    </row>
    <row r="18" spans="1:6" ht="14.5" x14ac:dyDescent="0.35">
      <c r="A18" s="7" t="s">
        <v>23</v>
      </c>
      <c r="B18" s="44">
        <f t="array" ref="B18:F18">VLOOKUP(A18,'Task_1 Ans'!$A$1:$X$40,{7,14,18,20,22},FALSE)</f>
        <v>33.799999999999997</v>
      </c>
      <c r="C18" s="44">
        <v>101.3</v>
      </c>
      <c r="D18" s="44">
        <v>61.4</v>
      </c>
      <c r="E18" s="44">
        <v>124.4</v>
      </c>
      <c r="F18" s="45">
        <v>61.4</v>
      </c>
    </row>
    <row r="19" spans="1:6" ht="14.5" x14ac:dyDescent="0.35">
      <c r="A19" s="7" t="s">
        <v>24</v>
      </c>
      <c r="B19" s="44">
        <f t="array" ref="B19:F19">VLOOKUP(A19,'Task_1 Ans'!$A$1:$X$40,{7,14,18,20,22},FALSE)</f>
        <v>34.700000000000003</v>
      </c>
      <c r="C19" s="44">
        <v>106.1</v>
      </c>
      <c r="D19" s="44">
        <v>63.6</v>
      </c>
      <c r="E19" s="44">
        <v>128.6</v>
      </c>
      <c r="F19" s="45">
        <v>63.6</v>
      </c>
    </row>
    <row r="20" spans="1:6" ht="14.5" x14ac:dyDescent="0.35">
      <c r="A20" s="7" t="s">
        <v>28</v>
      </c>
      <c r="B20" s="44">
        <f t="array" ref="B20:F20">VLOOKUP(A20,'Task_1 Ans'!$A$1:$X$40,{7,14,18,20,22},FALSE)</f>
        <v>0</v>
      </c>
      <c r="C20" s="44">
        <v>0</v>
      </c>
      <c r="D20" s="44">
        <v>0</v>
      </c>
      <c r="E20" s="44">
        <v>0</v>
      </c>
      <c r="F20" s="45">
        <v>0</v>
      </c>
    </row>
    <row r="21" spans="1:6" ht="14.5" x14ac:dyDescent="0.35">
      <c r="A21" s="7" t="s">
        <v>57</v>
      </c>
      <c r="B21" s="44">
        <f t="array" ref="B21:F21">VLOOKUP(A21,'Task_1 Ans'!$A$1:$X$40,{7,14,18,20,22},FALSE)</f>
        <v>41.3</v>
      </c>
      <c r="C21" s="44">
        <v>124.4</v>
      </c>
      <c r="D21" s="44">
        <v>75</v>
      </c>
      <c r="E21" s="44">
        <v>151.5</v>
      </c>
      <c r="F21" s="45">
        <v>75</v>
      </c>
    </row>
    <row r="22" spans="1:6" ht="14.5" x14ac:dyDescent="0.35">
      <c r="A22" s="7" t="s">
        <v>58</v>
      </c>
      <c r="B22" s="44">
        <f t="array" ref="B22:F22">VLOOKUP(A22,'Task_1 Ans'!$A$1:$X$40,{7,14,18,20,22},FALSE)</f>
        <v>-1</v>
      </c>
      <c r="C22" s="44">
        <v>-1</v>
      </c>
      <c r="D22" s="44">
        <v>-1</v>
      </c>
      <c r="E22" s="44">
        <v>-1</v>
      </c>
      <c r="F22" s="45">
        <v>-1</v>
      </c>
    </row>
    <row r="23" spans="1:6" ht="14.5" x14ac:dyDescent="0.35">
      <c r="A23" s="7" t="s">
        <v>31</v>
      </c>
      <c r="B23" s="44">
        <f t="array" ref="B23:F23">VLOOKUP(A23,'Task_1 Ans'!$A$1:$X$40,{7,14,18,20,22},FALSE)</f>
        <v>45</v>
      </c>
      <c r="C23" s="44">
        <v>133.4</v>
      </c>
      <c r="D23" s="44">
        <v>79.400000000000006</v>
      </c>
      <c r="E23" s="44">
        <v>160.9</v>
      </c>
      <c r="F23" s="45">
        <v>79.400000000000006</v>
      </c>
    </row>
    <row r="24" spans="1:6" ht="14.5" x14ac:dyDescent="0.35">
      <c r="A24" s="7" t="s">
        <v>32</v>
      </c>
      <c r="B24" s="44">
        <f t="array" ref="B24:F24">VLOOKUP(A24,'Task_1 Ans'!$A$1:$X$40,{7,14,18,20,22},FALSE)</f>
        <v>-1</v>
      </c>
      <c r="C24" s="44">
        <v>-1</v>
      </c>
      <c r="D24" s="44">
        <v>-1</v>
      </c>
      <c r="E24" s="44">
        <v>-1</v>
      </c>
      <c r="F24" s="45">
        <v>-1</v>
      </c>
    </row>
    <row r="25" spans="1:6" ht="14.5" x14ac:dyDescent="0.35">
      <c r="A25" s="7" t="s">
        <v>34</v>
      </c>
      <c r="B25" s="44">
        <f t="array" ref="B25:F25">VLOOKUP(A25,'Task_1 Ans'!$A$1:$X$40,{7,14,18,20,22},FALSE)</f>
        <v>43.3</v>
      </c>
      <c r="C25" s="44">
        <v>128.6</v>
      </c>
      <c r="D25" s="44">
        <v>79.400000000000006</v>
      </c>
      <c r="E25" s="44">
        <v>160.9</v>
      </c>
      <c r="F25" s="45">
        <v>79.400000000000006</v>
      </c>
    </row>
    <row r="26" spans="1:6" ht="14.5" x14ac:dyDescent="0.35">
      <c r="A26" s="7" t="s">
        <v>37</v>
      </c>
      <c r="B26" s="44">
        <f t="array" ref="B26:F26">VLOOKUP(A26,'Task_1 Ans'!$A$1:$X$40,{7,14,18,20,22},FALSE)</f>
        <v>49.1</v>
      </c>
      <c r="C26" s="44">
        <v>146.80000000000001</v>
      </c>
      <c r="D26" s="44">
        <v>90.9</v>
      </c>
      <c r="E26" s="44">
        <v>183.5</v>
      </c>
      <c r="F26" s="45">
        <v>90.9</v>
      </c>
    </row>
    <row r="27" spans="1:6" ht="14.5" x14ac:dyDescent="0.35">
      <c r="A27" s="7" t="s">
        <v>39</v>
      </c>
      <c r="B27" s="44">
        <f t="array" ref="B27:F27">VLOOKUP(A27,'Task_1 Ans'!$A$1:$X$40,{7,14,18,20,22},FALSE)</f>
        <v>51.8</v>
      </c>
      <c r="C27" s="44">
        <v>156.4</v>
      </c>
      <c r="D27" s="44">
        <v>93.1</v>
      </c>
      <c r="E27" s="44">
        <v>188.1</v>
      </c>
      <c r="F27" s="45">
        <v>93.1</v>
      </c>
    </row>
    <row r="28" spans="1:6" ht="14.5" x14ac:dyDescent="0.35">
      <c r="A28" s="18" t="s">
        <v>82</v>
      </c>
      <c r="B28" s="44">
        <f>MIN(B6:B27)</f>
        <v>-1</v>
      </c>
      <c r="C28" s="44">
        <f t="shared" ref="C28:F28" si="0">MIN(C6:C27)</f>
        <v>-1</v>
      </c>
      <c r="D28" s="44">
        <f t="shared" si="0"/>
        <v>-1</v>
      </c>
      <c r="E28" s="44">
        <f t="shared" si="0"/>
        <v>-1</v>
      </c>
      <c r="F28" s="44">
        <f t="shared" si="0"/>
        <v>-1</v>
      </c>
    </row>
    <row r="29" spans="1:6" ht="14.5" x14ac:dyDescent="0.35">
      <c r="A29" s="18" t="s">
        <v>83</v>
      </c>
      <c r="B29" s="44">
        <f>MAX(B6:B27)</f>
        <v>51.8</v>
      </c>
      <c r="C29" s="44">
        <f t="shared" ref="C29:F29" si="1">MAX(C6:C27)</f>
        <v>156.4</v>
      </c>
      <c r="D29" s="44">
        <f t="shared" si="1"/>
        <v>93.1</v>
      </c>
      <c r="E29" s="44">
        <f t="shared" si="1"/>
        <v>188.1</v>
      </c>
      <c r="F29" s="44">
        <f t="shared" si="1"/>
        <v>93.1</v>
      </c>
    </row>
    <row r="30" spans="1:6" ht="14.5" x14ac:dyDescent="0.35">
      <c r="A30" s="18" t="s">
        <v>84</v>
      </c>
      <c r="B30" s="44">
        <f>AVERAGE(B6:B27)</f>
        <v>20.827272727272728</v>
      </c>
      <c r="C30" s="44">
        <f t="shared" ref="C30:F30" si="2">AVERAGE(C6:C27)</f>
        <v>62.377272727272725</v>
      </c>
      <c r="D30" s="44">
        <f t="shared" si="2"/>
        <v>37.800000000000004</v>
      </c>
      <c r="E30" s="44">
        <f t="shared" si="2"/>
        <v>76.418181818181822</v>
      </c>
      <c r="F30" s="44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topLeftCell="A8" zoomScaleNormal="100" workbookViewId="0">
      <selection activeCell="G26" sqref="G2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2" s="37" customFormat="1" ht="21" x14ac:dyDescent="0.5">
      <c r="A1" s="38" t="s">
        <v>56</v>
      </c>
      <c r="B1" s="37" t="s">
        <v>175</v>
      </c>
    </row>
    <row r="2" spans="1:12" customFormat="1" ht="13" x14ac:dyDescent="0.3"/>
    <row r="3" spans="1:12" s="2" customFormat="1" x14ac:dyDescent="0.35">
      <c r="B3" s="1"/>
    </row>
    <row r="4" spans="1:12" s="2" customFormat="1" x14ac:dyDescent="0.35">
      <c r="B4" s="1" t="s">
        <v>152</v>
      </c>
    </row>
    <row r="5" spans="1:12" ht="18.5" x14ac:dyDescent="0.45">
      <c r="A5" s="39" t="s">
        <v>53</v>
      </c>
      <c r="B5" s="36"/>
    </row>
    <row r="6" spans="1:12" ht="18.5" x14ac:dyDescent="0.45">
      <c r="A6" s="39" t="s">
        <v>154</v>
      </c>
      <c r="B6" s="36"/>
    </row>
    <row r="7" spans="1:12" ht="18.5" x14ac:dyDescent="0.45">
      <c r="A7" s="39"/>
      <c r="B7" s="36"/>
    </row>
    <row r="9" spans="1:12" ht="23.5" x14ac:dyDescent="0.55000000000000004">
      <c r="A9" s="17" t="s">
        <v>166</v>
      </c>
      <c r="I9" s="2"/>
      <c r="J9" s="2"/>
    </row>
    <row r="10" spans="1:12" x14ac:dyDescent="0.35">
      <c r="A10" s="29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2" x14ac:dyDescent="0.3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2" ht="23.5" x14ac:dyDescent="0.55000000000000004">
      <c r="A14" s="17" t="s">
        <v>163</v>
      </c>
    </row>
    <row r="15" spans="1:12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  <c r="H15" s="51" t="s">
        <v>178</v>
      </c>
      <c r="I15" s="3"/>
      <c r="J15" s="3"/>
      <c r="K15" s="3"/>
      <c r="L15" s="3"/>
    </row>
    <row r="16" spans="1:12" x14ac:dyDescent="0.35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G16" s="49">
        <v>1</v>
      </c>
      <c r="H16" s="46" t="s">
        <v>179</v>
      </c>
      <c r="I16" s="46"/>
      <c r="J16" s="46"/>
      <c r="K16" s="46"/>
      <c r="L16" s="46"/>
    </row>
    <row r="17" spans="1:12" x14ac:dyDescent="0.3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  <c r="G17" s="3">
        <v>2</v>
      </c>
      <c r="H17" s="46" t="s">
        <v>180</v>
      </c>
      <c r="I17" s="46"/>
      <c r="J17" s="46"/>
      <c r="K17" s="46"/>
      <c r="L17" s="46"/>
    </row>
    <row r="18" spans="1:12" x14ac:dyDescent="0.3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  <c r="G18" s="3">
        <v>3</v>
      </c>
      <c r="H18" s="46" t="s">
        <v>181</v>
      </c>
      <c r="I18" s="46"/>
      <c r="J18" s="46"/>
      <c r="K18" s="46"/>
      <c r="L18" s="46"/>
    </row>
    <row r="19" spans="1:12" x14ac:dyDescent="0.3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  <c r="G19" s="3">
        <v>4</v>
      </c>
      <c r="H19" s="46" t="s">
        <v>182</v>
      </c>
      <c r="I19" s="46"/>
      <c r="J19" s="46"/>
      <c r="K19" s="46"/>
      <c r="L19" s="46"/>
    </row>
    <row r="20" spans="1:12" x14ac:dyDescent="0.3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  <c r="G20" s="3">
        <v>5</v>
      </c>
      <c r="H20" s="46" t="s">
        <v>183</v>
      </c>
      <c r="I20" s="46"/>
      <c r="J20" s="46"/>
      <c r="K20" s="46"/>
      <c r="L20" s="46"/>
    </row>
    <row r="21" spans="1:12" x14ac:dyDescent="0.3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  <c r="G21" s="3">
        <v>6</v>
      </c>
      <c r="H21" s="46" t="s">
        <v>184</v>
      </c>
      <c r="I21" s="46"/>
      <c r="J21" s="46"/>
      <c r="K21" s="46"/>
      <c r="L21" s="46"/>
    </row>
    <row r="22" spans="1:12" x14ac:dyDescent="0.3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  <c r="G22" s="3">
        <v>7</v>
      </c>
      <c r="H22" s="46" t="s">
        <v>185</v>
      </c>
      <c r="I22" s="46"/>
      <c r="J22" s="46"/>
      <c r="K22" s="46"/>
      <c r="L22" s="46"/>
    </row>
    <row r="23" spans="1:12" x14ac:dyDescent="0.3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  <c r="G23" s="3">
        <v>8</v>
      </c>
      <c r="H23" s="46" t="s">
        <v>186</v>
      </c>
      <c r="I23" s="46"/>
      <c r="J23" s="46"/>
      <c r="K23" s="46"/>
      <c r="L23" s="46"/>
    </row>
    <row r="24" spans="1:12" x14ac:dyDescent="0.3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12" x14ac:dyDescent="0.3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12" x14ac:dyDescent="0.3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12" x14ac:dyDescent="0.3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12" x14ac:dyDescent="0.3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12" x14ac:dyDescent="0.3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12" x14ac:dyDescent="0.3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12" x14ac:dyDescent="0.3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12" x14ac:dyDescent="0.3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topLeftCell="A3" zoomScaleNormal="100" workbookViewId="0">
      <selection activeCell="E13" sqref="E13:E1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0" ht="21" x14ac:dyDescent="0.5">
      <c r="A1" s="38" t="s">
        <v>85</v>
      </c>
      <c r="B1" s="37" t="s">
        <v>168</v>
      </c>
    </row>
    <row r="2" spans="1:10" ht="18.5" x14ac:dyDescent="0.45">
      <c r="B2" s="36" t="s">
        <v>167</v>
      </c>
    </row>
    <row r="5" spans="1:10" ht="14.5" x14ac:dyDescent="0.35">
      <c r="B5" s="1" t="s">
        <v>152</v>
      </c>
    </row>
    <row r="6" spans="1:10" ht="14.5" x14ac:dyDescent="0.35">
      <c r="A6" s="3" t="s">
        <v>53</v>
      </c>
      <c r="B6" s="1"/>
    </row>
    <row r="7" spans="1:10" ht="14.5" x14ac:dyDescent="0.35">
      <c r="A7" s="3" t="s">
        <v>154</v>
      </c>
      <c r="B7" s="1"/>
    </row>
    <row r="10" spans="1:10" ht="23.5" x14ac:dyDescent="0.55000000000000004">
      <c r="A10" s="17" t="s">
        <v>163</v>
      </c>
    </row>
    <row r="11" spans="1:10" ht="14.5" x14ac:dyDescent="0.35">
      <c r="A11" s="28" t="s">
        <v>86</v>
      </c>
      <c r="B11" s="16" t="s">
        <v>87</v>
      </c>
      <c r="C11" s="16" t="s">
        <v>88</v>
      </c>
    </row>
    <row r="12" spans="1:10" ht="14.5" x14ac:dyDescent="0.35">
      <c r="A12" s="28">
        <v>44927</v>
      </c>
      <c r="B12" s="16" t="s">
        <v>59</v>
      </c>
      <c r="C12" s="16">
        <v>200</v>
      </c>
      <c r="F12" s="59" t="s">
        <v>178</v>
      </c>
    </row>
    <row r="13" spans="1:10" ht="14.5" x14ac:dyDescent="0.35">
      <c r="A13" s="28">
        <v>44928</v>
      </c>
      <c r="B13" s="16" t="s">
        <v>60</v>
      </c>
      <c r="C13" s="16">
        <v>20</v>
      </c>
      <c r="E13" s="58">
        <v>1</v>
      </c>
      <c r="F13" s="62" t="s">
        <v>197</v>
      </c>
      <c r="G13" s="62"/>
      <c r="H13" s="62"/>
      <c r="I13" s="62"/>
      <c r="J13" s="62"/>
    </row>
    <row r="14" spans="1:10" ht="14.5" x14ac:dyDescent="0.35">
      <c r="A14" s="28">
        <v>44929</v>
      </c>
      <c r="B14" s="16" t="s">
        <v>61</v>
      </c>
      <c r="C14" s="16">
        <v>50</v>
      </c>
      <c r="E14" s="58">
        <v>2</v>
      </c>
      <c r="F14" s="62" t="s">
        <v>198</v>
      </c>
      <c r="G14" s="62"/>
      <c r="H14" s="62"/>
      <c r="I14" s="62"/>
      <c r="J14" s="62"/>
    </row>
    <row r="15" spans="1:10" ht="14.5" x14ac:dyDescent="0.35">
      <c r="A15" s="28">
        <v>44930</v>
      </c>
      <c r="B15" s="16" t="s">
        <v>62</v>
      </c>
      <c r="C15" s="16">
        <v>20</v>
      </c>
      <c r="E15" s="58">
        <v>3</v>
      </c>
      <c r="F15" s="62" t="s">
        <v>199</v>
      </c>
      <c r="G15" s="62"/>
      <c r="H15" s="62"/>
      <c r="I15" s="62"/>
      <c r="J15" s="62"/>
    </row>
    <row r="16" spans="1:10" ht="14.5" x14ac:dyDescent="0.35">
      <c r="A16" s="28">
        <v>44931</v>
      </c>
      <c r="B16" s="16" t="s">
        <v>63</v>
      </c>
      <c r="C16" s="16">
        <v>10</v>
      </c>
      <c r="E16" s="58">
        <v>4</v>
      </c>
      <c r="F16" s="62" t="s">
        <v>200</v>
      </c>
      <c r="G16" s="62"/>
      <c r="H16" s="62"/>
      <c r="I16" s="62"/>
      <c r="J16" s="62"/>
    </row>
    <row r="17" spans="1:3" ht="14.5" x14ac:dyDescent="0.35">
      <c r="A17" s="28">
        <v>44932</v>
      </c>
      <c r="B17" s="16" t="s">
        <v>155</v>
      </c>
      <c r="C17" s="16">
        <v>150</v>
      </c>
    </row>
    <row r="18" spans="1:3" ht="14.5" x14ac:dyDescent="0.35">
      <c r="A18" s="28">
        <v>44933</v>
      </c>
      <c r="B18" s="16" t="s">
        <v>156</v>
      </c>
      <c r="C18" s="16">
        <v>80</v>
      </c>
    </row>
    <row r="19" spans="1:3" ht="14.5" x14ac:dyDescent="0.35">
      <c r="A19" s="28">
        <v>44934</v>
      </c>
      <c r="B19" s="16" t="s">
        <v>157</v>
      </c>
      <c r="C19" s="16">
        <v>20</v>
      </c>
    </row>
    <row r="20" spans="1:3" ht="14.5" x14ac:dyDescent="0.35">
      <c r="A20" s="28">
        <v>44935</v>
      </c>
      <c r="B20" s="16" t="s">
        <v>158</v>
      </c>
      <c r="C20" s="16">
        <v>30</v>
      </c>
    </row>
    <row r="21" spans="1:3" ht="14.5" x14ac:dyDescent="0.35">
      <c r="A21" s="28">
        <v>44936</v>
      </c>
      <c r="B21" s="16" t="s">
        <v>159</v>
      </c>
      <c r="C21" s="16">
        <v>20</v>
      </c>
    </row>
    <row r="22" spans="1:3" ht="14.5" x14ac:dyDescent="0.35">
      <c r="B22" s="18" t="s">
        <v>160</v>
      </c>
      <c r="C22" s="22">
        <f>SUM(C12:C21)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3" zoomScaleNormal="100" workbookViewId="0">
      <selection activeCell="F27" sqref="F2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176</v>
      </c>
    </row>
    <row r="3" spans="1:14" ht="14.5" x14ac:dyDescent="0.35">
      <c r="B3" s="1" t="s">
        <v>152</v>
      </c>
    </row>
    <row r="4" spans="1:14" ht="18.5" x14ac:dyDescent="0.45">
      <c r="A4" s="39" t="s">
        <v>53</v>
      </c>
      <c r="B4" s="1"/>
    </row>
    <row r="5" spans="1:14" ht="18.5" x14ac:dyDescent="0.45">
      <c r="A5" s="39" t="s">
        <v>154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163</v>
      </c>
      <c r="M8" s="17" t="s">
        <v>164</v>
      </c>
    </row>
    <row r="9" spans="1:14" ht="14.5" x14ac:dyDescent="0.35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8" t="s">
        <v>43</v>
      </c>
      <c r="N9" s="18" t="s">
        <v>99</v>
      </c>
    </row>
    <row r="10" spans="1:14" ht="14.5" x14ac:dyDescent="0.35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1">
        <v>10100</v>
      </c>
      <c r="N10" s="11" t="s">
        <v>89</v>
      </c>
    </row>
    <row r="11" spans="1:14" ht="14.5" x14ac:dyDescent="0.35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1">
        <v>10102</v>
      </c>
      <c r="N11" s="11" t="s">
        <v>90</v>
      </c>
    </row>
    <row r="12" spans="1:14" ht="14.5" x14ac:dyDescent="0.35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1">
        <v>10104</v>
      </c>
      <c r="N12" s="11" t="s">
        <v>91</v>
      </c>
    </row>
    <row r="13" spans="1:14" ht="14.5" x14ac:dyDescent="0.35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1">
        <v>10106</v>
      </c>
      <c r="N13" s="11" t="s">
        <v>92</v>
      </c>
    </row>
    <row r="14" spans="1:14" ht="14.5" x14ac:dyDescent="0.35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1">
        <v>10108</v>
      </c>
      <c r="N14" s="11" t="s">
        <v>93</v>
      </c>
    </row>
    <row r="15" spans="1:14" ht="14.5" x14ac:dyDescent="0.35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1">
        <v>10110</v>
      </c>
      <c r="N15" s="11" t="s">
        <v>94</v>
      </c>
    </row>
    <row r="16" spans="1:14" ht="14.5" x14ac:dyDescent="0.35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1">
        <v>10112</v>
      </c>
      <c r="N16" s="11" t="s">
        <v>95</v>
      </c>
    </row>
    <row r="17" spans="1:14" ht="14.5" x14ac:dyDescent="0.35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1">
        <v>10114</v>
      </c>
      <c r="N17" s="11" t="s">
        <v>96</v>
      </c>
    </row>
    <row r="18" spans="1:14" ht="14.5" x14ac:dyDescent="0.35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169</v>
      </c>
    </row>
    <row r="22" spans="1:14" ht="14.5" x14ac:dyDescent="0.35">
      <c r="A22" s="13" t="s">
        <v>100</v>
      </c>
      <c r="B22" s="16" t="s">
        <v>101</v>
      </c>
      <c r="C22" s="15" t="s">
        <v>102</v>
      </c>
      <c r="E22" s="61" t="s">
        <v>178</v>
      </c>
      <c r="F22" s="58"/>
      <c r="G22" s="58"/>
      <c r="H22" s="58"/>
      <c r="I22" s="58"/>
      <c r="J22" s="58"/>
    </row>
    <row r="23" spans="1:14" ht="14.5" x14ac:dyDescent="0.35">
      <c r="A23" s="7">
        <v>10100</v>
      </c>
      <c r="B23" s="11">
        <v>10102</v>
      </c>
      <c r="C23" s="40" t="str">
        <f>VLOOKUP($B23,$M$10:$N$18,2,FALSE)</f>
        <v>B</v>
      </c>
      <c r="D23" s="58">
        <v>1</v>
      </c>
      <c r="E23" s="62" t="s">
        <v>187</v>
      </c>
      <c r="F23" s="62"/>
      <c r="G23" s="62"/>
      <c r="H23" s="62"/>
      <c r="I23" s="62"/>
      <c r="J23" s="58"/>
    </row>
    <row r="24" spans="1:14" ht="14.5" x14ac:dyDescent="0.35">
      <c r="A24" s="7">
        <v>10100</v>
      </c>
      <c r="B24" s="11">
        <v>10104</v>
      </c>
      <c r="C24" s="40" t="str">
        <f t="shared" ref="C24:C35" si="0">VLOOKUP($B24,$M$10:$N$18,2,FALSE)</f>
        <v>C</v>
      </c>
      <c r="D24" s="58">
        <v>2</v>
      </c>
      <c r="E24" s="62" t="s">
        <v>204</v>
      </c>
      <c r="F24" s="69"/>
      <c r="G24" s="69"/>
      <c r="H24" s="69"/>
      <c r="I24" s="69"/>
      <c r="J24" s="58"/>
    </row>
    <row r="25" spans="1:14" ht="14.5" x14ac:dyDescent="0.35">
      <c r="A25" s="7">
        <v>10108</v>
      </c>
      <c r="B25" s="11">
        <v>10102</v>
      </c>
      <c r="C25" s="40" t="str">
        <f t="shared" si="0"/>
        <v>B</v>
      </c>
      <c r="E25" s="58"/>
      <c r="F25" s="58"/>
      <c r="G25" s="58"/>
      <c r="H25" s="58"/>
      <c r="I25" s="58"/>
      <c r="J25" s="58"/>
    </row>
    <row r="26" spans="1:14" ht="14.5" x14ac:dyDescent="0.35">
      <c r="A26" s="7">
        <v>10100</v>
      </c>
      <c r="B26" s="11">
        <v>10106</v>
      </c>
      <c r="C26" s="40" t="str">
        <f t="shared" si="0"/>
        <v>D</v>
      </c>
    </row>
    <row r="27" spans="1:14" ht="14.5" x14ac:dyDescent="0.35">
      <c r="A27" s="7">
        <v>10108</v>
      </c>
      <c r="B27" s="11">
        <v>10110</v>
      </c>
      <c r="C27" s="40" t="str">
        <f t="shared" si="0"/>
        <v>F</v>
      </c>
    </row>
    <row r="28" spans="1:14" ht="14.5" x14ac:dyDescent="0.35">
      <c r="A28" s="7">
        <v>10102</v>
      </c>
      <c r="B28" s="11">
        <v>10104</v>
      </c>
      <c r="C28" s="40" t="str">
        <f t="shared" si="0"/>
        <v>C</v>
      </c>
    </row>
    <row r="29" spans="1:14" ht="14.5" x14ac:dyDescent="0.35">
      <c r="A29" s="7">
        <v>10106</v>
      </c>
      <c r="B29" s="11">
        <v>10108</v>
      </c>
      <c r="C29" s="40" t="str">
        <f t="shared" si="0"/>
        <v>E</v>
      </c>
    </row>
    <row r="30" spans="1:14" ht="14.5" x14ac:dyDescent="0.35">
      <c r="A30" s="7">
        <v>10102</v>
      </c>
      <c r="B30" s="11">
        <v>10106</v>
      </c>
      <c r="C30" s="40" t="str">
        <f t="shared" si="0"/>
        <v>D</v>
      </c>
    </row>
    <row r="31" spans="1:14" ht="14.5" x14ac:dyDescent="0.35">
      <c r="A31" s="7">
        <v>10110</v>
      </c>
      <c r="B31" s="11">
        <v>10114</v>
      </c>
      <c r="C31" s="40" t="str">
        <f t="shared" si="0"/>
        <v>H</v>
      </c>
    </row>
    <row r="32" spans="1:14" ht="14.5" x14ac:dyDescent="0.35">
      <c r="A32" s="7">
        <v>10104</v>
      </c>
      <c r="B32" s="11">
        <v>10106</v>
      </c>
      <c r="C32" s="40" t="str">
        <f t="shared" si="0"/>
        <v>D</v>
      </c>
    </row>
    <row r="33" spans="1:3" ht="14.5" x14ac:dyDescent="0.35">
      <c r="A33" s="7">
        <v>10110</v>
      </c>
      <c r="B33" s="11">
        <v>10112</v>
      </c>
      <c r="C33" s="40" t="str">
        <f t="shared" si="0"/>
        <v>G</v>
      </c>
    </row>
    <row r="34" spans="1:3" ht="14.5" x14ac:dyDescent="0.35">
      <c r="A34" s="7">
        <v>10100</v>
      </c>
      <c r="B34" s="11">
        <v>10114</v>
      </c>
      <c r="C34" s="40" t="str">
        <f t="shared" si="0"/>
        <v>H</v>
      </c>
    </row>
    <row r="35" spans="1:3" ht="14.5" x14ac:dyDescent="0.35">
      <c r="A35" s="8">
        <v>10112</v>
      </c>
      <c r="B35" s="12">
        <v>10116</v>
      </c>
      <c r="C35" s="40" t="str">
        <f t="shared" si="0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Task_1 Ans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Palle Ramesh</cp:lastModifiedBy>
  <dcterms:created xsi:type="dcterms:W3CDTF">2015-02-10T17:33:11Z</dcterms:created>
  <dcterms:modified xsi:type="dcterms:W3CDTF">2023-12-10T06:40:05Z</dcterms:modified>
</cp:coreProperties>
</file>